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/Downloads/"/>
    </mc:Choice>
  </mc:AlternateContent>
  <xr:revisionPtr revIDLastSave="0" documentId="13_ncr:1_{F4EB7FEB-37FE-2849-9B12-E3FC4AAA2CF8}" xr6:coauthVersionLast="47" xr6:coauthVersionMax="47" xr10:uidLastSave="{00000000-0000-0000-0000-000000000000}"/>
  <bookViews>
    <workbookView xWindow="320" yWindow="760" windowWidth="27840" windowHeight="17120" tabRatio="704" xr2:uid="{00000000-000D-0000-FFFF-FFFF00000000}"/>
  </bookViews>
  <sheets>
    <sheet name="Лист 1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4" l="1"/>
  <c r="G2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" i="34"/>
  <c r="F2" i="34" s="1" a="1"/>
  <c r="F2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<sst xmlns="http://schemas.openxmlformats.org/spreadsheetml/2006/main" count="29" uniqueCount="29">
  <si>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Продажа нового жилья (квартиры)</t>
  </si>
  <si>
    <t>Республика Казахстан</t>
  </si>
  <si>
    <t>Астана</t>
  </si>
  <si>
    <t>Алматы</t>
  </si>
  <si>
    <t>Шымкент</t>
  </si>
  <si>
    <t>Актау</t>
  </si>
  <si>
    <t>Актобе</t>
  </si>
  <si>
    <t>Атырау</t>
  </si>
  <si>
    <t>Жезказган</t>
  </si>
  <si>
    <t>Кокшетау</t>
  </si>
  <si>
    <t>Караганда</t>
  </si>
  <si>
    <t>Конаев</t>
  </si>
  <si>
    <t>Костанай</t>
  </si>
  <si>
    <t>Кызылорда</t>
  </si>
  <si>
    <t>Уральск</t>
  </si>
  <si>
    <t>Усть-Каменогорск</t>
  </si>
  <si>
    <t>Павлодар</t>
  </si>
  <si>
    <t>Петропавловск</t>
  </si>
  <si>
    <t>Семей</t>
  </si>
  <si>
    <t>Талдыкорган</t>
  </si>
  <si>
    <t>Тараз</t>
  </si>
  <si>
    <t>Туркестан</t>
  </si>
  <si>
    <t>Арендная плата за благоустроенное жилье</t>
  </si>
  <si>
    <t>Перепродажа квартир</t>
  </si>
  <si>
    <t>Город</t>
  </si>
  <si>
    <t>Разница между новостройкой и перепродажей</t>
  </si>
  <si>
    <t>Что дороже?</t>
  </si>
  <si>
    <t>Самая высокая цена за новое жилье</t>
  </si>
  <si>
    <t>Самая низкая цена за новое жилье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</si>
</sst>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Roboto Light"/>
      <charset val="204"/>
    </font>
    <font>
      <b/>
      <sz val="10"/>
      <name val="Roboto Light"/>
      <charset val="204"/>
    </font>
    <font>
      <sz val="8"/>
      <name val="Roboto"/>
      <charset val="204"/>
    </font>
    <font>
      <sz val="10"/>
      <name val="Roboto"/>
      <charset val="204"/>
    </font>
    <font>
      <b/>
      <sz val="8"/>
      <name val="Roboto"/>
      <charset val="204"/>
    </font>
    <font>
      <u/>
      <sz val="10"/>
      <color theme="10"/>
      <name val="Arial Cyr"/>
      <charset val="204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rgb="FF0F1115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4" xfId="0" applyFont="1" applyBorder="1" applyAlignment="1">
      <alignment horizontal="center" vertical="center"/>
    </xf>
    <xf numFmtId="49" fontId="13" fillId="0" borderId="0" xfId="0" applyNumberFormat="1" applyFont="1" applyAlignment="1">
      <alignment horizontal="left"/>
    </xf>
    <xf numFmtId="3" fontId="12" fillId="0" borderId="0" xfId="0" applyNumberFormat="1" applyFont="1" applyAlignment="1">
      <alignment horizontal="right"/>
    </xf>
    <xf numFmtId="49" fontId="12" fillId="0" borderId="0" xfId="0" applyNumberFormat="1" applyFont="1" applyAlignment="1">
      <alignment horizontal="left"/>
    </xf>
    <xf numFmtId="49" fontId="12" fillId="0" borderId="2" xfId="0" applyNumberFormat="1" applyFont="1" applyBorder="1" applyAlignment="1">
      <alignment horizontal="left"/>
    </xf>
    <xf numFmtId="3" fontId="12" fillId="0" borderId="2" xfId="0" applyNumberFormat="1" applyFont="1" applyBorder="1" applyAlignment="1">
      <alignment horizontal="right"/>
    </xf>
    <xf numFmtId="2" fontId="12" fillId="0" borderId="3" xfId="0" applyNumberFormat="1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 wrapText="1"/>
    </xf>
    <xf numFmtId="1" fontId="12" fillId="0" borderId="0" xfId="0" applyNumberFormat="1" applyFont="1" applyAlignment="1">
      <alignment horizontal="right"/>
    </xf>
    <xf numFmtId="1" fontId="12" fillId="0" borderId="2" xfId="0" applyNumberFormat="1" applyFont="1" applyBorder="1" applyAlignment="1">
      <alignment horizontal="right"/>
    </xf>
    <xf numFmtId="1" fontId="6" fillId="0" borderId="0" xfId="0" applyNumberFormat="1" applyFont="1"/>
    <xf numFmtId="1" fontId="9" fillId="0" borderId="0" xfId="0" applyNumberFormat="1" applyFont="1"/>
    <xf numFmtId="1" fontId="12" fillId="0" borderId="1" xfId="0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/>
    </xf>
    <xf numFmtId="3" fontId="12" fillId="0" borderId="2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1" fontId="12" fillId="0" borderId="0" xfId="0" applyNumberFormat="1" applyFont="1"/>
    <xf numFmtId="0" fontId="12" fillId="0" borderId="0" xfId="0" applyFont="1"/>
  </cellXfs>
  <cellStyles count="24">
    <cellStyle name="20% — акцент1" xfId="5" xr:uid="{00000000-0005-0000-0000-000000000000}"/>
    <cellStyle name="20% — акцент2" xfId="6" xr:uid="{00000000-0005-0000-0000-000001000000}"/>
    <cellStyle name="20% — акцент3" xfId="7" xr:uid="{00000000-0005-0000-0000-000002000000}"/>
    <cellStyle name="20% — акцент4" xfId="8" xr:uid="{00000000-0005-0000-0000-000003000000}"/>
    <cellStyle name="20% — акцент5" xfId="9" xr:uid="{00000000-0005-0000-0000-000004000000}"/>
    <cellStyle name="20% — акцент6" xfId="10" xr:uid="{00000000-0005-0000-0000-000005000000}"/>
    <cellStyle name="40% — акцент1" xfId="11" xr:uid="{00000000-0005-0000-0000-000006000000}"/>
    <cellStyle name="40% — акцент2" xfId="12" xr:uid="{00000000-0005-0000-0000-000007000000}"/>
    <cellStyle name="40% — акцент3" xfId="13" xr:uid="{00000000-0005-0000-0000-000008000000}"/>
    <cellStyle name="40% — акцент4" xfId="14" xr:uid="{00000000-0005-0000-0000-000009000000}"/>
    <cellStyle name="40% — акцент5" xfId="15" xr:uid="{00000000-0005-0000-0000-00000A000000}"/>
    <cellStyle name="40% — акцент6" xfId="16" xr:uid="{00000000-0005-0000-0000-00000B000000}"/>
    <cellStyle name="60% — акцент1" xfId="17" xr:uid="{00000000-0005-0000-0000-00000C000000}"/>
    <cellStyle name="60% — акцент2" xfId="18" xr:uid="{00000000-0005-0000-0000-00000D000000}"/>
    <cellStyle name="60% — акцент3" xfId="19" xr:uid="{00000000-0005-0000-0000-00000E000000}"/>
    <cellStyle name="60% — акцент4" xfId="20" xr:uid="{00000000-0005-0000-0000-00000F000000}"/>
    <cellStyle name="60% — акцент5" xfId="21" xr:uid="{00000000-0005-0000-0000-000010000000}"/>
    <cellStyle name="60% — акцент6" xfId="22" xr:uid="{00000000-0005-0000-0000-000011000000}"/>
    <cellStyle name="Normal" xfId="0" builtinId="0"/>
    <cellStyle name="Гиперссылка 2" xfId="23" xr:uid="{00000000-0005-0000-0000-000012000000}"/>
    <cellStyle name="Обычный 2" xfId="1" xr:uid="{00000000-0005-0000-0000-000014000000}"/>
    <cellStyle name="Обычный 2 2" xfId="3" xr:uid="{00000000-0005-0000-0000-000015000000}"/>
    <cellStyle name="Обычный 3" xfId="2" xr:uid="{00000000-0005-0000-0000-000016000000}"/>
    <cellStyle name="Обычный 4" xfId="4" xr:uid="{00000000-0005-0000-0000-000017000000}"/>
  </cellStyles>
  <dxfs count="0"/>
  <tableStyles count="0" defaultTableStyle="TableStyleMedium9" defaultPivotStyle="PivotStyleLight16"/>
  <colors>
    <mruColors>
      <color rgb="FF0081E2"/>
      <color rgb="FF0066FF"/>
      <color rgb="FF3269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tabSelected="1" zoomScale="125" zoomScaleNormal="135" zoomScaleSheetLayoutView="130" workbookViewId="0">
      <selection activeCell="H2" sqref="H2"/>
    </sheetView>
  </sheetViews>
  <sheetFormatPr baseColWidth="10" defaultColWidth="8.83203125" defaultRowHeight="18"/>
  <cols>
    <col min="1" max="1" width="27.6640625" style="3" customWidth="1"/>
    <col min="2" max="2" width="25.83203125" style="17" customWidth="1"/>
    <col min="3" max="3" width="26" style="17" customWidth="1"/>
    <col min="4" max="4" width="26" style="3" customWidth="1"/>
    <col min="5" max="5" width="24" style="26" customWidth="1"/>
    <col min="6" max="6" width="26" style="22" customWidth="1"/>
    <col min="7" max="7" width="18.1640625" style="1" customWidth="1"/>
    <col min="8" max="8" width="18.5" style="1" customWidth="1"/>
    <col min="9" max="244" width="9.1640625" style="1"/>
    <col min="245" max="245" width="29.33203125" style="1" customWidth="1"/>
    <col min="246" max="248" width="34.5" style="1" customWidth="1"/>
    <col min="249" max="500" width="9.1640625" style="1"/>
    <col min="501" max="501" width="29.33203125" style="1" customWidth="1"/>
    <col min="502" max="504" width="34.5" style="1" customWidth="1"/>
    <col min="505" max="756" width="9.1640625" style="1"/>
    <col min="757" max="757" width="29.33203125" style="1" customWidth="1"/>
    <col min="758" max="760" width="34.5" style="1" customWidth="1"/>
    <col min="761" max="1012" width="9.1640625" style="1"/>
    <col min="1013" max="1013" width="29.33203125" style="1" customWidth="1"/>
    <col min="1014" max="1016" width="34.5" style="1" customWidth="1"/>
    <col min="1017" max="1268" width="9.1640625" style="1"/>
    <col min="1269" max="1269" width="29.33203125" style="1" customWidth="1"/>
    <col min="1270" max="1272" width="34.5" style="1" customWidth="1"/>
    <col min="1273" max="1524" width="9.1640625" style="1"/>
    <col min="1525" max="1525" width="29.33203125" style="1" customWidth="1"/>
    <col min="1526" max="1528" width="34.5" style="1" customWidth="1"/>
    <col min="1529" max="1780" width="9.1640625" style="1"/>
    <col min="1781" max="1781" width="29.33203125" style="1" customWidth="1"/>
    <col min="1782" max="1784" width="34.5" style="1" customWidth="1"/>
    <col min="1785" max="2036" width="9.1640625" style="1"/>
    <col min="2037" max="2037" width="29.33203125" style="1" customWidth="1"/>
    <col min="2038" max="2040" width="34.5" style="1" customWidth="1"/>
    <col min="2041" max="2292" width="9.1640625" style="1"/>
    <col min="2293" max="2293" width="29.33203125" style="1" customWidth="1"/>
    <col min="2294" max="2296" width="34.5" style="1" customWidth="1"/>
    <col min="2297" max="2548" width="9.1640625" style="1"/>
    <col min="2549" max="2549" width="29.33203125" style="1" customWidth="1"/>
    <col min="2550" max="2552" width="34.5" style="1" customWidth="1"/>
    <col min="2553" max="2804" width="9.1640625" style="1"/>
    <col min="2805" max="2805" width="29.33203125" style="1" customWidth="1"/>
    <col min="2806" max="2808" width="34.5" style="1" customWidth="1"/>
    <col min="2809" max="3060" width="9.1640625" style="1"/>
    <col min="3061" max="3061" width="29.33203125" style="1" customWidth="1"/>
    <col min="3062" max="3064" width="34.5" style="1" customWidth="1"/>
    <col min="3065" max="3316" width="9.1640625" style="1"/>
    <col min="3317" max="3317" width="29.33203125" style="1" customWidth="1"/>
    <col min="3318" max="3320" width="34.5" style="1" customWidth="1"/>
    <col min="3321" max="3572" width="9.1640625" style="1"/>
    <col min="3573" max="3573" width="29.33203125" style="1" customWidth="1"/>
    <col min="3574" max="3576" width="34.5" style="1" customWidth="1"/>
    <col min="3577" max="3828" width="9.1640625" style="1"/>
    <col min="3829" max="3829" width="29.33203125" style="1" customWidth="1"/>
    <col min="3830" max="3832" width="34.5" style="1" customWidth="1"/>
    <col min="3833" max="4084" width="9.1640625" style="1"/>
    <col min="4085" max="4085" width="29.33203125" style="1" customWidth="1"/>
    <col min="4086" max="4088" width="34.5" style="1" customWidth="1"/>
    <col min="4089" max="4340" width="9.1640625" style="1"/>
    <col min="4341" max="4341" width="29.33203125" style="1" customWidth="1"/>
    <col min="4342" max="4344" width="34.5" style="1" customWidth="1"/>
    <col min="4345" max="4596" width="9.1640625" style="1"/>
    <col min="4597" max="4597" width="29.33203125" style="1" customWidth="1"/>
    <col min="4598" max="4600" width="34.5" style="1" customWidth="1"/>
    <col min="4601" max="4852" width="9.1640625" style="1"/>
    <col min="4853" max="4853" width="29.33203125" style="1" customWidth="1"/>
    <col min="4854" max="4856" width="34.5" style="1" customWidth="1"/>
    <col min="4857" max="5108" width="9.1640625" style="1"/>
    <col min="5109" max="5109" width="29.33203125" style="1" customWidth="1"/>
    <col min="5110" max="5112" width="34.5" style="1" customWidth="1"/>
    <col min="5113" max="5364" width="9.1640625" style="1"/>
    <col min="5365" max="5365" width="29.33203125" style="1" customWidth="1"/>
    <col min="5366" max="5368" width="34.5" style="1" customWidth="1"/>
    <col min="5369" max="5620" width="9.1640625" style="1"/>
    <col min="5621" max="5621" width="29.33203125" style="1" customWidth="1"/>
    <col min="5622" max="5624" width="34.5" style="1" customWidth="1"/>
    <col min="5625" max="5876" width="9.1640625" style="1"/>
    <col min="5877" max="5877" width="29.33203125" style="1" customWidth="1"/>
    <col min="5878" max="5880" width="34.5" style="1" customWidth="1"/>
    <col min="5881" max="6132" width="9.1640625" style="1"/>
    <col min="6133" max="6133" width="29.33203125" style="1" customWidth="1"/>
    <col min="6134" max="6136" width="34.5" style="1" customWidth="1"/>
    <col min="6137" max="6388" width="9.1640625" style="1"/>
    <col min="6389" max="6389" width="29.33203125" style="1" customWidth="1"/>
    <col min="6390" max="6392" width="34.5" style="1" customWidth="1"/>
    <col min="6393" max="6644" width="9.1640625" style="1"/>
    <col min="6645" max="6645" width="29.33203125" style="1" customWidth="1"/>
    <col min="6646" max="6648" width="34.5" style="1" customWidth="1"/>
    <col min="6649" max="6900" width="9.1640625" style="1"/>
    <col min="6901" max="6901" width="29.33203125" style="1" customWidth="1"/>
    <col min="6902" max="6904" width="34.5" style="1" customWidth="1"/>
    <col min="6905" max="7156" width="9.1640625" style="1"/>
    <col min="7157" max="7157" width="29.33203125" style="1" customWidth="1"/>
    <col min="7158" max="7160" width="34.5" style="1" customWidth="1"/>
    <col min="7161" max="7412" width="9.1640625" style="1"/>
    <col min="7413" max="7413" width="29.33203125" style="1" customWidth="1"/>
    <col min="7414" max="7416" width="34.5" style="1" customWidth="1"/>
    <col min="7417" max="7668" width="9.1640625" style="1"/>
    <col min="7669" max="7669" width="29.33203125" style="1" customWidth="1"/>
    <col min="7670" max="7672" width="34.5" style="1" customWidth="1"/>
    <col min="7673" max="7924" width="9.1640625" style="1"/>
    <col min="7925" max="7925" width="29.33203125" style="1" customWidth="1"/>
    <col min="7926" max="7928" width="34.5" style="1" customWidth="1"/>
    <col min="7929" max="8180" width="9.1640625" style="1"/>
    <col min="8181" max="8181" width="29.33203125" style="1" customWidth="1"/>
    <col min="8182" max="8184" width="34.5" style="1" customWidth="1"/>
    <col min="8185" max="8436" width="9.1640625" style="1"/>
    <col min="8437" max="8437" width="29.33203125" style="1" customWidth="1"/>
    <col min="8438" max="8440" width="34.5" style="1" customWidth="1"/>
    <col min="8441" max="8692" width="9.1640625" style="1"/>
    <col min="8693" max="8693" width="29.33203125" style="1" customWidth="1"/>
    <col min="8694" max="8696" width="34.5" style="1" customWidth="1"/>
    <col min="8697" max="8948" width="9.1640625" style="1"/>
    <col min="8949" max="8949" width="29.33203125" style="1" customWidth="1"/>
    <col min="8950" max="8952" width="34.5" style="1" customWidth="1"/>
    <col min="8953" max="9204" width="9.1640625" style="1"/>
    <col min="9205" max="9205" width="29.33203125" style="1" customWidth="1"/>
    <col min="9206" max="9208" width="34.5" style="1" customWidth="1"/>
    <col min="9209" max="9460" width="9.1640625" style="1"/>
    <col min="9461" max="9461" width="29.33203125" style="1" customWidth="1"/>
    <col min="9462" max="9464" width="34.5" style="1" customWidth="1"/>
    <col min="9465" max="9716" width="9.1640625" style="1"/>
    <col min="9717" max="9717" width="29.33203125" style="1" customWidth="1"/>
    <col min="9718" max="9720" width="34.5" style="1" customWidth="1"/>
    <col min="9721" max="9972" width="9.1640625" style="1"/>
    <col min="9973" max="9973" width="29.33203125" style="1" customWidth="1"/>
    <col min="9974" max="9976" width="34.5" style="1" customWidth="1"/>
    <col min="9977" max="10228" width="9.1640625" style="1"/>
    <col min="10229" max="10229" width="29.33203125" style="1" customWidth="1"/>
    <col min="10230" max="10232" width="34.5" style="1" customWidth="1"/>
    <col min="10233" max="10484" width="9.1640625" style="1"/>
    <col min="10485" max="10485" width="29.33203125" style="1" customWidth="1"/>
    <col min="10486" max="10488" width="34.5" style="1" customWidth="1"/>
    <col min="10489" max="10740" width="9.1640625" style="1"/>
    <col min="10741" max="10741" width="29.33203125" style="1" customWidth="1"/>
    <col min="10742" max="10744" width="34.5" style="1" customWidth="1"/>
    <col min="10745" max="10996" width="9.1640625" style="1"/>
    <col min="10997" max="10997" width="29.33203125" style="1" customWidth="1"/>
    <col min="10998" max="11000" width="34.5" style="1" customWidth="1"/>
    <col min="11001" max="11252" width="9.1640625" style="1"/>
    <col min="11253" max="11253" width="29.33203125" style="1" customWidth="1"/>
    <col min="11254" max="11256" width="34.5" style="1" customWidth="1"/>
    <col min="11257" max="11508" width="9.1640625" style="1"/>
    <col min="11509" max="11509" width="29.33203125" style="1" customWidth="1"/>
    <col min="11510" max="11512" width="34.5" style="1" customWidth="1"/>
    <col min="11513" max="11764" width="9.1640625" style="1"/>
    <col min="11765" max="11765" width="29.33203125" style="1" customWidth="1"/>
    <col min="11766" max="11768" width="34.5" style="1" customWidth="1"/>
    <col min="11769" max="12020" width="9.1640625" style="1"/>
    <col min="12021" max="12021" width="29.33203125" style="1" customWidth="1"/>
    <col min="12022" max="12024" width="34.5" style="1" customWidth="1"/>
    <col min="12025" max="12276" width="9.1640625" style="1"/>
    <col min="12277" max="12277" width="29.33203125" style="1" customWidth="1"/>
    <col min="12278" max="12280" width="34.5" style="1" customWidth="1"/>
    <col min="12281" max="12532" width="9.1640625" style="1"/>
    <col min="12533" max="12533" width="29.33203125" style="1" customWidth="1"/>
    <col min="12534" max="12536" width="34.5" style="1" customWidth="1"/>
    <col min="12537" max="12788" width="9.1640625" style="1"/>
    <col min="12789" max="12789" width="29.33203125" style="1" customWidth="1"/>
    <col min="12790" max="12792" width="34.5" style="1" customWidth="1"/>
    <col min="12793" max="13044" width="9.1640625" style="1"/>
    <col min="13045" max="13045" width="29.33203125" style="1" customWidth="1"/>
    <col min="13046" max="13048" width="34.5" style="1" customWidth="1"/>
    <col min="13049" max="13300" width="9.1640625" style="1"/>
    <col min="13301" max="13301" width="29.33203125" style="1" customWidth="1"/>
    <col min="13302" max="13304" width="34.5" style="1" customWidth="1"/>
    <col min="13305" max="13556" width="9.1640625" style="1"/>
    <col min="13557" max="13557" width="29.33203125" style="1" customWidth="1"/>
    <col min="13558" max="13560" width="34.5" style="1" customWidth="1"/>
    <col min="13561" max="13812" width="9.1640625" style="1"/>
    <col min="13813" max="13813" width="29.33203125" style="1" customWidth="1"/>
    <col min="13814" max="13816" width="34.5" style="1" customWidth="1"/>
    <col min="13817" max="14068" width="9.1640625" style="1"/>
    <col min="14069" max="14069" width="29.33203125" style="1" customWidth="1"/>
    <col min="14070" max="14072" width="34.5" style="1" customWidth="1"/>
    <col min="14073" max="14324" width="9.1640625" style="1"/>
    <col min="14325" max="14325" width="29.33203125" style="1" customWidth="1"/>
    <col min="14326" max="14328" width="34.5" style="1" customWidth="1"/>
    <col min="14329" max="14580" width="9.1640625" style="1"/>
    <col min="14581" max="14581" width="29.33203125" style="1" customWidth="1"/>
    <col min="14582" max="14584" width="34.5" style="1" customWidth="1"/>
    <col min="14585" max="14836" width="9.1640625" style="1"/>
    <col min="14837" max="14837" width="29.33203125" style="1" customWidth="1"/>
    <col min="14838" max="14840" width="34.5" style="1" customWidth="1"/>
    <col min="14841" max="15092" width="9.1640625" style="1"/>
    <col min="15093" max="15093" width="29.33203125" style="1" customWidth="1"/>
    <col min="15094" max="15096" width="34.5" style="1" customWidth="1"/>
    <col min="15097" max="15348" width="9.1640625" style="1"/>
    <col min="15349" max="15349" width="29.33203125" style="1" customWidth="1"/>
    <col min="15350" max="15352" width="34.5" style="1" customWidth="1"/>
    <col min="15353" max="15604" width="9.1640625" style="1"/>
    <col min="15605" max="15605" width="29.33203125" style="1" customWidth="1"/>
    <col min="15606" max="15608" width="34.5" style="1" customWidth="1"/>
    <col min="15609" max="15860" width="9.1640625" style="1"/>
    <col min="15861" max="15861" width="29.33203125" style="1" customWidth="1"/>
    <col min="15862" max="15864" width="34.5" style="1" customWidth="1"/>
    <col min="15865" max="16116" width="9.1640625" style="1"/>
    <col min="16117" max="16117" width="29.33203125" style="1" customWidth="1"/>
    <col min="16118" max="16120" width="34.5" style="1" customWidth="1"/>
    <col min="16121" max="16384" width="9.1640625" style="1"/>
  </cols>
  <sheetData>
    <row r="1" spans="1:8" ht="38" customHeight="1">
      <c r="A1" s="6" t="s">
        <v>24</v>
      </c>
      <c r="B1" s="18" t="s">
        <v>0</v>
      </c>
      <c r="C1" s="13" t="s">
        <v>23</v>
      </c>
      <c r="D1" s="12" t="s">
        <v>22</v>
      </c>
      <c r="E1" s="24" t="s">
        <v>25</v>
      </c>
      <c r="F1" s="12" t="s">
        <v>26</v>
      </c>
      <c r="G1" s="23" t="s">
        <v>27</v>
      </c>
      <c r="H1" s="24" t="s">
        <v>28</v>
      </c>
    </row>
    <row r="2" spans="1:8" ht="18" customHeight="1">
      <c r="A2" s="7" t="s">
        <v>1</v>
      </c>
      <c r="B2" s="14">
        <v>615933</v>
      </c>
      <c r="C2" s="14">
        <v>630009</v>
      </c>
      <c r="D2" s="8">
        <v>5000</v>
      </c>
      <c r="E2" s="25">
        <f>C2-B2</f>
        <v>14076</v>
      </c>
      <c r="F2" s="19" t="str" cm="1">
        <f t="array" ref="F2:F22">IF(E2:E22&gt;0,"Новое жилье ", "Перепродажа квартир ")</f>
        <v xml:space="preserve">Новое жилье </v>
      </c>
      <c r="G2" s="25">
        <f>MAX(B2:B22)</f>
        <v>733375</v>
      </c>
      <c r="H2" s="25">
        <f>MIN(B2:B22)</f>
        <v>325231</v>
      </c>
    </row>
    <row r="3" spans="1:8" ht="24.75" customHeight="1">
      <c r="A3" s="9" t="s">
        <v>2</v>
      </c>
      <c r="B3" s="14">
        <v>731990</v>
      </c>
      <c r="C3" s="14">
        <v>728903</v>
      </c>
      <c r="D3" s="8">
        <v>5529</v>
      </c>
      <c r="E3" s="25">
        <f t="shared" ref="E3:E22" si="0">C3-B3</f>
        <v>-3087</v>
      </c>
      <c r="F3" s="19" t="str">
        <v xml:space="preserve">Перепродажа квартир </v>
      </c>
      <c r="G3" s="16"/>
    </row>
    <row r="4" spans="1:8" s="2" customFormat="1">
      <c r="A4" s="9" t="s">
        <v>3</v>
      </c>
      <c r="B4" s="14">
        <v>733375</v>
      </c>
      <c r="C4" s="14">
        <v>746967</v>
      </c>
      <c r="D4" s="8">
        <v>5824</v>
      </c>
      <c r="E4" s="25">
        <f t="shared" si="0"/>
        <v>13592</v>
      </c>
      <c r="F4" s="19" t="str">
        <v xml:space="preserve">Новое жилье </v>
      </c>
      <c r="G4" s="16"/>
    </row>
    <row r="5" spans="1:8">
      <c r="A5" s="9" t="s">
        <v>4</v>
      </c>
      <c r="B5" s="14">
        <v>535036</v>
      </c>
      <c r="C5" s="14">
        <v>466216</v>
      </c>
      <c r="D5" s="8">
        <v>4429</v>
      </c>
      <c r="E5" s="25">
        <f t="shared" si="0"/>
        <v>-68820</v>
      </c>
      <c r="F5" s="19" t="str">
        <v xml:space="preserve">Перепродажа квартир </v>
      </c>
      <c r="G5" s="16"/>
    </row>
    <row r="6" spans="1:8">
      <c r="A6" s="9" t="s">
        <v>5</v>
      </c>
      <c r="B6" s="14">
        <v>463722</v>
      </c>
      <c r="C6" s="14">
        <v>359710</v>
      </c>
      <c r="D6" s="8">
        <v>3957</v>
      </c>
      <c r="E6" s="25">
        <f t="shared" si="0"/>
        <v>-104012</v>
      </c>
      <c r="F6" s="19" t="str">
        <v xml:space="preserve">Перепродажа квартир </v>
      </c>
      <c r="G6" s="16"/>
    </row>
    <row r="7" spans="1:8">
      <c r="A7" s="9" t="s">
        <v>6</v>
      </c>
      <c r="B7" s="14">
        <v>356454</v>
      </c>
      <c r="C7" s="14">
        <v>382771</v>
      </c>
      <c r="D7" s="8">
        <v>3358</v>
      </c>
      <c r="E7" s="25">
        <f t="shared" si="0"/>
        <v>26317</v>
      </c>
      <c r="F7" s="19" t="str">
        <v xml:space="preserve">Новое жилье </v>
      </c>
      <c r="G7" s="16"/>
    </row>
    <row r="8" spans="1:8">
      <c r="A8" s="9" t="s">
        <v>7</v>
      </c>
      <c r="B8" s="14">
        <v>537968</v>
      </c>
      <c r="C8" s="14">
        <v>513070</v>
      </c>
      <c r="D8" s="8">
        <v>4213</v>
      </c>
      <c r="E8" s="25">
        <f t="shared" si="0"/>
        <v>-24898</v>
      </c>
      <c r="F8" s="19" t="str">
        <v xml:space="preserve">Перепродажа квартир </v>
      </c>
      <c r="G8" s="16"/>
    </row>
    <row r="9" spans="1:8">
      <c r="A9" s="9" t="s">
        <v>8</v>
      </c>
      <c r="B9" s="14">
        <v>397692</v>
      </c>
      <c r="C9" s="14">
        <v>385086</v>
      </c>
      <c r="D9" s="8">
        <v>4258</v>
      </c>
      <c r="E9" s="25">
        <f t="shared" si="0"/>
        <v>-12606</v>
      </c>
      <c r="F9" s="19" t="str">
        <v xml:space="preserve">Перепродажа квартир </v>
      </c>
      <c r="G9" s="16"/>
    </row>
    <row r="10" spans="1:8">
      <c r="A10" s="9" t="s">
        <v>9</v>
      </c>
      <c r="B10" s="14">
        <v>358868</v>
      </c>
      <c r="C10" s="14">
        <v>369307</v>
      </c>
      <c r="D10" s="8">
        <v>3307</v>
      </c>
      <c r="E10" s="25">
        <f t="shared" si="0"/>
        <v>10439</v>
      </c>
      <c r="F10" s="19" t="str">
        <v xml:space="preserve">Новое жилье </v>
      </c>
      <c r="G10" s="16"/>
    </row>
    <row r="11" spans="1:8">
      <c r="A11" s="9" t="s">
        <v>10</v>
      </c>
      <c r="B11" s="14">
        <v>414705</v>
      </c>
      <c r="C11" s="14">
        <v>411029</v>
      </c>
      <c r="D11" s="8">
        <v>4875</v>
      </c>
      <c r="E11" s="25">
        <f t="shared" si="0"/>
        <v>-3676</v>
      </c>
      <c r="F11" s="19" t="str">
        <v xml:space="preserve">Перепродажа квартир </v>
      </c>
      <c r="G11" s="16"/>
    </row>
    <row r="12" spans="1:8">
      <c r="A12" s="9" t="s">
        <v>11</v>
      </c>
      <c r="B12" s="14">
        <v>489488</v>
      </c>
      <c r="C12" s="14">
        <v>454873</v>
      </c>
      <c r="D12" s="8">
        <v>3924</v>
      </c>
      <c r="E12" s="25">
        <f t="shared" si="0"/>
        <v>-34615</v>
      </c>
      <c r="F12" s="19" t="str">
        <v xml:space="preserve">Перепродажа квартир </v>
      </c>
      <c r="G12" s="16"/>
    </row>
    <row r="13" spans="1:8">
      <c r="A13" s="9" t="s">
        <v>12</v>
      </c>
      <c r="B13" s="14">
        <v>435941</v>
      </c>
      <c r="C13" s="14">
        <v>437764</v>
      </c>
      <c r="D13" s="8">
        <v>3136</v>
      </c>
      <c r="E13" s="25">
        <f t="shared" si="0"/>
        <v>1823</v>
      </c>
      <c r="F13" s="19" t="str">
        <v xml:space="preserve">Новое жилье </v>
      </c>
      <c r="G13" s="16"/>
    </row>
    <row r="14" spans="1:8">
      <c r="A14" s="9" t="s">
        <v>13</v>
      </c>
      <c r="B14" s="14">
        <v>387665</v>
      </c>
      <c r="C14" s="14">
        <v>341027</v>
      </c>
      <c r="D14" s="8">
        <v>3176</v>
      </c>
      <c r="E14" s="25">
        <f t="shared" si="0"/>
        <v>-46638</v>
      </c>
      <c r="F14" s="19" t="str">
        <v xml:space="preserve">Перепродажа квартир </v>
      </c>
      <c r="G14" s="16"/>
    </row>
    <row r="15" spans="1:8">
      <c r="A15" s="9" t="s">
        <v>14</v>
      </c>
      <c r="B15" s="14">
        <v>325231</v>
      </c>
      <c r="C15" s="14">
        <v>390645</v>
      </c>
      <c r="D15" s="8">
        <v>3402</v>
      </c>
      <c r="E15" s="25">
        <f t="shared" si="0"/>
        <v>65414</v>
      </c>
      <c r="F15" s="19" t="str">
        <v xml:space="preserve">Новое жилье </v>
      </c>
      <c r="G15" s="16"/>
    </row>
    <row r="16" spans="1:8">
      <c r="A16" s="9" t="s">
        <v>15</v>
      </c>
      <c r="B16" s="14">
        <v>530773</v>
      </c>
      <c r="C16" s="14">
        <v>415864</v>
      </c>
      <c r="D16" s="8">
        <v>3843</v>
      </c>
      <c r="E16" s="25">
        <f t="shared" si="0"/>
        <v>-114909</v>
      </c>
      <c r="F16" s="19" t="str">
        <v xml:space="preserve">Перепродажа квартир </v>
      </c>
      <c r="G16" s="16"/>
    </row>
    <row r="17" spans="1:7">
      <c r="A17" s="9" t="s">
        <v>16</v>
      </c>
      <c r="B17" s="14">
        <v>486676</v>
      </c>
      <c r="C17" s="14">
        <v>459210</v>
      </c>
      <c r="D17" s="8">
        <v>3819</v>
      </c>
      <c r="E17" s="25">
        <f t="shared" si="0"/>
        <v>-27466</v>
      </c>
      <c r="F17" s="19" t="str">
        <v xml:space="preserve">Перепродажа квартир </v>
      </c>
      <c r="G17" s="16"/>
    </row>
    <row r="18" spans="1:7">
      <c r="A18" s="9" t="s">
        <v>17</v>
      </c>
      <c r="B18" s="14">
        <v>403222</v>
      </c>
      <c r="C18" s="14">
        <v>433626</v>
      </c>
      <c r="D18" s="8">
        <v>4609</v>
      </c>
      <c r="E18" s="25">
        <f t="shared" si="0"/>
        <v>30404</v>
      </c>
      <c r="F18" s="19" t="str">
        <v xml:space="preserve">Новое жилье </v>
      </c>
      <c r="G18" s="16"/>
    </row>
    <row r="19" spans="1:7">
      <c r="A19" s="9" t="s">
        <v>18</v>
      </c>
      <c r="B19" s="14">
        <v>472920</v>
      </c>
      <c r="C19" s="14">
        <v>473694</v>
      </c>
      <c r="D19" s="8">
        <v>3818</v>
      </c>
      <c r="E19" s="25">
        <f t="shared" si="0"/>
        <v>774</v>
      </c>
      <c r="F19" s="19" t="str">
        <v xml:space="preserve">Новое жилье </v>
      </c>
      <c r="G19" s="16"/>
    </row>
    <row r="20" spans="1:7">
      <c r="A20" s="9" t="s">
        <v>19</v>
      </c>
      <c r="B20" s="14">
        <v>484558</v>
      </c>
      <c r="C20" s="14">
        <v>417193</v>
      </c>
      <c r="D20" s="8">
        <v>3618</v>
      </c>
      <c r="E20" s="25">
        <f t="shared" si="0"/>
        <v>-67365</v>
      </c>
      <c r="F20" s="19" t="str">
        <v xml:space="preserve">Перепродажа квартир </v>
      </c>
      <c r="G20" s="16"/>
    </row>
    <row r="21" spans="1:7">
      <c r="A21" s="9" t="s">
        <v>20</v>
      </c>
      <c r="B21" s="14">
        <v>410275</v>
      </c>
      <c r="C21" s="14">
        <v>352135</v>
      </c>
      <c r="D21" s="8">
        <v>2525</v>
      </c>
      <c r="E21" s="25">
        <f t="shared" si="0"/>
        <v>-58140</v>
      </c>
      <c r="F21" s="19" t="str">
        <v xml:space="preserve">Перепродажа квартир </v>
      </c>
      <c r="G21" s="16"/>
    </row>
    <row r="22" spans="1:7">
      <c r="A22" s="10" t="s">
        <v>21</v>
      </c>
      <c r="B22" s="15">
        <v>387697</v>
      </c>
      <c r="C22" s="15">
        <v>383738</v>
      </c>
      <c r="D22" s="11">
        <v>2751</v>
      </c>
      <c r="E22" s="25">
        <f t="shared" si="0"/>
        <v>-3959</v>
      </c>
      <c r="F22" s="20" t="str">
        <v xml:space="preserve">Перепродажа квартир </v>
      </c>
      <c r="G22" s="16"/>
    </row>
    <row r="23" spans="1:7">
      <c r="A23" s="1"/>
      <c r="B23" s="16"/>
      <c r="C23" s="16"/>
      <c r="D23" s="1"/>
      <c r="F23" s="21"/>
    </row>
    <row r="24" spans="1:7">
      <c r="A24" s="1"/>
      <c r="B24" s="16"/>
      <c r="C24" s="16"/>
      <c r="D24" s="1"/>
      <c r="F24" s="21"/>
    </row>
    <row r="25" spans="1:7">
      <c r="A25" s="1"/>
      <c r="B25" s="16"/>
      <c r="C25" s="16"/>
      <c r="D25" s="1"/>
      <c r="F25" s="21"/>
    </row>
    <row r="26" spans="1:7">
      <c r="A26" s="1"/>
      <c r="B26" s="16"/>
      <c r="C26" s="16"/>
      <c r="D26" s="1"/>
      <c r="F26" s="21"/>
    </row>
    <row r="27" spans="1:7">
      <c r="A27" s="1"/>
      <c r="B27" s="16"/>
      <c r="C27" s="16"/>
      <c r="D27" s="1"/>
      <c r="F27" s="21"/>
    </row>
    <row r="28" spans="1:7">
      <c r="A28" s="1"/>
      <c r="B28" s="16"/>
      <c r="C28" s="16"/>
      <c r="D28" s="1"/>
      <c r="F28" s="21"/>
    </row>
    <row r="29" spans="1:7">
      <c r="A29" s="1"/>
      <c r="B29" s="16"/>
      <c r="C29" s="16"/>
      <c r="D29" s="1"/>
      <c r="F29" s="21"/>
    </row>
    <row r="30" spans="1:7">
      <c r="A30" s="5"/>
      <c r="B30" s="16"/>
      <c r="C30" s="16"/>
      <c r="D30" s="1"/>
      <c r="F30" s="21"/>
    </row>
    <row r="31" spans="1:7">
      <c r="A31" s="4"/>
      <c r="B31" s="16"/>
      <c r="C31" s="16"/>
      <c r="D31" s="1"/>
      <c r="F31" s="21"/>
    </row>
    <row r="32" spans="1:7">
      <c r="A32" s="4"/>
      <c r="B32" s="16"/>
      <c r="C32" s="16"/>
      <c r="D32" s="1"/>
      <c r="F32" s="21"/>
    </row>
    <row r="33" spans="1:6">
      <c r="A33" s="1"/>
      <c r="B33" s="16"/>
      <c r="C33" s="16"/>
      <c r="D33" s="1"/>
      <c r="F33" s="21"/>
    </row>
    <row r="34" spans="1:6">
      <c r="A34" s="1"/>
      <c r="B34" s="16"/>
      <c r="C34" s="16"/>
      <c r="D34" s="1"/>
      <c r="F34" s="21"/>
    </row>
    <row r="35" spans="1:6">
      <c r="A35" s="1"/>
      <c r="B35" s="16"/>
      <c r="C35" s="16"/>
      <c r="D35" s="1"/>
      <c r="F35" s="21"/>
    </row>
    <row r="36" spans="1:6">
      <c r="A36" s="1"/>
      <c r="B36" s="16"/>
      <c r="C36" s="16"/>
      <c r="D36" s="1"/>
      <c r="F36" s="21"/>
    </row>
    <row r="37" spans="1:6">
      <c r="A37" s="1"/>
      <c r="B37" s="16"/>
      <c r="C37" s="16"/>
      <c r="D37" s="1"/>
      <c r="F37" s="21"/>
    </row>
    <row r="38" spans="1:6">
      <c r="A38" s="1"/>
      <c r="B38" s="16"/>
      <c r="C38" s="16"/>
      <c r="D38" s="1"/>
      <c r="F38" s="21"/>
    </row>
    <row r="39" spans="1:6">
      <c r="A39" s="1"/>
      <c r="B39" s="16"/>
      <c r="C39" s="16"/>
      <c r="D39" s="1"/>
      <c r="F39" s="21"/>
    </row>
    <row r="40" spans="1:6">
      <c r="A40" s="1"/>
      <c r="B40" s="16"/>
      <c r="C40" s="16"/>
      <c r="D40" s="1"/>
      <c r="F40" s="21"/>
    </row>
    <row r="41" spans="1:6">
      <c r="A41" s="1"/>
      <c r="B41" s="16"/>
      <c r="C41" s="16"/>
      <c r="D41" s="1"/>
      <c r="F41" s="21"/>
    </row>
    <row r="42" spans="1:6">
      <c r="A42" s="1"/>
      <c r="B42" s="16"/>
      <c r="C42" s="16"/>
      <c r="D42" s="1"/>
      <c r="F42" s="21"/>
    </row>
    <row r="43" spans="1:6">
      <c r="A43" s="1"/>
      <c r="B43" s="16"/>
      <c r="C43" s="16"/>
      <c r="D43" s="1"/>
      <c r="F43" s="21"/>
    </row>
    <row r="44" spans="1:6">
      <c r="A44" s="1"/>
      <c r="B44" s="16"/>
      <c r="C44" s="16"/>
      <c r="D44" s="1"/>
      <c r="F44" s="21"/>
    </row>
    <row r="45" spans="1:6">
      <c r="A45" s="1"/>
      <c r="B45" s="16"/>
      <c r="C45" s="16"/>
      <c r="D45" s="1"/>
      <c r="F45" s="21"/>
    </row>
  </sheetData>
  <pageMargins left="0.78740157480314965" right="0.39370078740157483" top="0.39370078740157483" bottom="0.39370078740157483" header="0" footer="0"/>
  <pageSetup paperSize="9" scale="85" firstPageNumber="7" orientation="portrait" useFirstPageNumber="1" r:id="rId1"/>
  <headerFooter alignWithMargins="0"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Laura Zhaksybaikyzy</cp:lastModifiedBy>
  <cp:lastPrinted>2026-04-09T04:51:12Z</cp:lastPrinted>
  <dcterms:created xsi:type="dcterms:W3CDTF">2005-10-10T09:16:47Z</dcterms:created>
  <dcterms:modified xsi:type="dcterms:W3CDTF">2026-05-31T10:42:24Z</dcterms:modified>
</cp:coreProperties>
</file>